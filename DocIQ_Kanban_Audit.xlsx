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309fec909a45cc/Documentos/GitHub/HealthParse/"/>
    </mc:Choice>
  </mc:AlternateContent>
  <xr:revisionPtr revIDLastSave="87" documentId="11_A747405766B3244F9205F95C70654386D892E8D1" xr6:coauthVersionLast="47" xr6:coauthVersionMax="47" xr10:uidLastSave="{BA435F60-764F-4EB5-875A-2804C943394F}"/>
  <bookViews>
    <workbookView xWindow="-110" yWindow="-110" windowWidth="22780" windowHeight="14540" tabRatio="500" activeTab="1" xr2:uid="{00000000-000D-0000-FFFF-FFFF00000000}"/>
  </bookViews>
  <sheets>
    <sheet name="Audit – Issues Found" sheetId="1" r:id="rId1"/>
    <sheet name="V1.0 Kanban – Updated" sheetId="2" r:id="rId2"/>
    <sheet name="V1.0 Release Checklist" sheetId="3" r:id="rId3"/>
    <sheet name="Summary" sheetId="4" r:id="rId4"/>
  </sheets>
  <definedNames>
    <definedName name="_xlnm._FilterDatabase" localSheetId="0" hidden="1">'Audit – Issues Found'!$A$1:$E$16</definedName>
    <definedName name="_xlnm._FilterDatabase" localSheetId="1" hidden="1">'V1.0 Kanban – Updated'!$A$1:$K$38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4" l="1"/>
  <c r="C16" i="4"/>
  <c r="B16" i="4"/>
</calcChain>
</file>

<file path=xl/sharedStrings.xml><?xml version="1.0" encoding="utf-8"?>
<sst xmlns="http://schemas.openxmlformats.org/spreadsheetml/2006/main" count="575" uniqueCount="304">
  <si>
    <t>#</t>
  </si>
  <si>
    <t>Issue Type</t>
  </si>
  <si>
    <t>Items Affected</t>
  </si>
  <si>
    <t>Problem</t>
  </si>
  <si>
    <t>Recommendation</t>
  </si>
  <si>
    <t>DUPLICATE</t>
  </si>
  <si>
    <t>#7 + #21</t>
  </si>
  <si>
    <t>Both are 'Containerization' items with overlapping scope (Docker/K8s vs Dockerfile &amp; Runtime). Two tickets for one task.</t>
  </si>
  <si>
    <t>Merge into single item: 'Containerization – Dockerfile &amp; docker-compose'. Drop #7.</t>
  </si>
  <si>
    <t>#30 + #31 + #33</t>
  </si>
  <si>
    <t>Three separate items for FHIR output (#30 Output Mapping to FHIR Standard, #31 FHIR Output Transformation, #33 Save FHIR JSON to disk). These are one feature.</t>
  </si>
  <si>
    <t>Merge into single item: 'FHIR Output – Mapping &amp; Persistence'. Code already exists in fhir_mapper.py + fhir_output_saver.py.</t>
  </si>
  <si>
    <t>#25 + #26</t>
  </si>
  <si>
    <t>Threaded PDF Processing – Per File (#25) vs Threaded Page Processing – Per Page (#26). Both exist in pdf_extractor.py already.</t>
  </si>
  <si>
    <t>Merge into: 'Threaded Processing – Per-File &amp; Per-Page'. Code exists, needs review not new development.</t>
  </si>
  <si>
    <t>MISPLACED</t>
  </si>
  <si>
    <t>#2 Language Detection</t>
  </si>
  <si>
    <t>Marked 'In Review' but shows 'Pending | 10%'. A 10% complete item cannot be in review. Code exists in language.py and is functional.</t>
  </si>
  <si>
    <t>Move to IN REVIEW at 80%. language.py + utils/language.py are implemented. Needs test coverage review.</t>
  </si>
  <si>
    <t>#1 Relation Mapping</t>
  </si>
  <si>
    <t>Marked 'In Review' but shows 'Pending | 20%'. relation_mapper.py exists with full RelationMapper class.</t>
  </si>
  <si>
    <t>Move to IN REVIEW at 70%. Code exists. Note says 'future batching required' – that's v2, not v1 blocker.</t>
  </si>
  <si>
    <t>#3, #4</t>
  </si>
  <si>
    <t>Validation (#3) and Output Formatting (#4) both in 'In Review' at 30% but marked 'Pending'. Code exists for both.</t>
  </si>
  <si>
    <t>Move to IN REVIEW at 70-80%. Both validator.py and output_formatter.py are implemented.</t>
  </si>
  <si>
    <t>MISSING</t>
  </si>
  <si>
    <t>requirements.txt</t>
  </si>
  <si>
    <t>No dependency file exists. Cannot deploy, cannot reproduce environment. This is a release blocker.</t>
  </si>
  <si>
    <t>Add NEW item: 'Dependency Management – requirements.txt &amp; pyproject.toml'. P0 priority.</t>
  </si>
  <si>
    <t>FastAPI / REST API</t>
  </si>
  <si>
    <t>#12 says 'In Progress | 50%' but NO FastAPI code exists in the codebase. Zero lines.</t>
  </si>
  <si>
    <t>Reset #12 to 0%. This is the largest remaining work item for v1.0.</t>
  </si>
  <si>
    <t>CLI Interface</t>
  </si>
  <si>
    <t>main.py has hardcoded Windows paths. No argparse/click. Unusable by anyone except the original developer.</t>
  </si>
  <si>
    <t>Add NEW item: 'CLI Interface – argparse for main.py'. Required for v1.0.</t>
  </si>
  <si>
    <t>Configuration Management</t>
  </si>
  <si>
    <t>No YAML/JSON config, no .env, no settings module. All parameters hardcoded.</t>
  </si>
  <si>
    <t>Add NEW item: 'Configuration – YAML config &amp; environment variables'. Required before deployment.</t>
  </si>
  <si>
    <t>Error Handling &amp; Custom Exceptions</t>
  </si>
  <si>
    <t>Only 9 try/except blocks, no custom exception classes. Print-based error reporting.</t>
  </si>
  <si>
    <t>Add NEW item: 'Error Handling – Custom exceptions &amp; error responses'. Required for API layer.</t>
  </si>
  <si>
    <t>Integration Testing</t>
  </si>
  <si>
    <t>#19 Pipeline Testing exists but no end-to-end integration test that simulates real document processing.</t>
  </si>
  <si>
    <t>Add NEW item: 'Integration Testing – End-to-end document flow'. Required for release confidence.</t>
  </si>
  <si>
    <t>INFLATED %</t>
  </si>
  <si>
    <t>#8 Core Engine 70%</t>
  </si>
  <si>
    <t>main.py is 21 lines with hardcoded paths. 70% is not accurate for what a 'Core Engine' should be.</t>
  </si>
  <si>
    <t>Reset to 30%. Needs CLI, config loading, proper error handling, and API server mode.</t>
  </si>
  <si>
    <t>#10 OCR 60%</t>
  </si>
  <si>
    <t>ocr.py and preprocess.py exist and work. But 60% undersells it – the OCR pipeline is more complete than that.</t>
  </si>
  <si>
    <t>Raise to 80%. OCR extraction + preprocessing are functional. Needs edge case handling.</t>
  </si>
  <si>
    <t>SCOPE CREEP</t>
  </si>
  <si>
    <t>#6 Deployment – Scalable Setup</t>
  </si>
  <si>
    <t>Too vague for a v1.0 item. 'Scalable setup' implies K8s, load balancing, auto-scaling – that's v2+.</t>
  </si>
  <si>
    <t>Rename to 'Deployment – Single-host Docker Setup'. Defer scaling to v2.</t>
  </si>
  <si>
    <t>ID</t>
  </si>
  <si>
    <t>Task</t>
  </si>
  <si>
    <t>Category</t>
  </si>
  <si>
    <t>Status</t>
  </si>
  <si>
    <t>Priority</t>
  </si>
  <si>
    <t>Progress</t>
  </si>
  <si>
    <t>Code Exists?</t>
  </si>
  <si>
    <t>Depends On</t>
  </si>
  <si>
    <t>V1.0 Required?</t>
  </si>
  <si>
    <t>Expert Notes</t>
  </si>
  <si>
    <t>#16</t>
  </si>
  <si>
    <t>Architecture – Modular Structure</t>
  </si>
  <si>
    <t>Architecture</t>
  </si>
  <si>
    <t>DONE</t>
  </si>
  <si>
    <t>P0 – CRITICAL</t>
  </si>
  <si>
    <t>100%</t>
  </si>
  <si>
    <t>Yes</t>
  </si>
  <si>
    <t>—</t>
  </si>
  <si>
    <t>Modular pipeline/ directory with clean separation. Foundation is solid.</t>
  </si>
  <si>
    <t>#24</t>
  </si>
  <si>
    <t>Unit Testing – OCR &amp; NER</t>
  </si>
  <si>
    <t>Testing</t>
  </si>
  <si>
    <t>P1 – HIGH</t>
  </si>
  <si>
    <t>test_ocr.py &amp; test_ner.py in place. Good baseline.</t>
  </si>
  <si>
    <t>#32</t>
  </si>
  <si>
    <t>FHIR Mapping Tests – Pytest Conversion</t>
  </si>
  <si>
    <t>P2 – MEDIUM</t>
  </si>
  <si>
    <t>Converted to pytest assert format. Clean.</t>
  </si>
  <si>
    <t>#2</t>
  </si>
  <si>
    <t>Language Detection – langdetect module</t>
  </si>
  <si>
    <t>Extraction</t>
  </si>
  <si>
    <t>IN REVIEW</t>
  </si>
  <si>
    <t>80%</t>
  </si>
  <si>
    <t>MOVED from 10%→80%. language.py + utils/language.py fully implemented. Deterministic seeding. Needs: edge case tests for short text.</t>
  </si>
  <si>
    <t>#3</t>
  </si>
  <si>
    <t>Validation – Pydantic Schemas</t>
  </si>
  <si>
    <t>Validation</t>
  </si>
  <si>
    <t>MOVED from 30%→80%. All 3 schemas implemented + @normalize_dates decorator. Needs: error message review for API consumers.</t>
  </si>
  <si>
    <t>#4</t>
  </si>
  <si>
    <t>Output Formatting – JSON Export</t>
  </si>
  <si>
    <t>Output</t>
  </si>
  <si>
    <t>MOVED from 30%→80%. output_formatter.py works. Needs: configurable exclude_none behavior.</t>
  </si>
  <si>
    <t>#15</t>
  </si>
  <si>
    <t>Classification – PDF Type Detector</t>
  </si>
  <si>
    <t>pdf_type_detector.py implemented. Threshold configurable. Needs: test with edge cases (encrypted PDFs, zero-page PDFs).</t>
  </si>
  <si>
    <t>#17</t>
  </si>
  <si>
    <t>Training – NER Pipeline (train_ner.py)</t>
  </si>
  <si>
    <t>ML/NER</t>
  </si>
  <si>
    <t>#11</t>
  </si>
  <si>
    <t>No</t>
  </si>
  <si>
    <t>Kanban says 80%. No train_ner.py file found. If training happens outside repo, document the workflow. Not blocking v1.0 if pre-trained models are loaded.</t>
  </si>
  <si>
    <t>#18</t>
  </si>
  <si>
    <t>Utils – language.py &amp; text_utils.py</t>
  </si>
  <si>
    <t>Utils</t>
  </si>
  <si>
    <t>90%</t>
  </si>
  <si>
    <t>Both files implemented and functional. Clean utilities. Ready to close after final review.</t>
  </si>
  <si>
    <t>#20</t>
  </si>
  <si>
    <t>Documentation – README &amp; Developer Guide</t>
  </si>
  <si>
    <t>Docs</t>
  </si>
  <si>
    <t>70%</t>
  </si>
  <si>
    <t>All</t>
  </si>
  <si>
    <t>README.md exists and is comprehensive. Needs: API docs (once FastAPI exists), deployment guide, .env.example.</t>
  </si>
  <si>
    <t>#23</t>
  </si>
  <si>
    <t>Output Schema Enforcement – Field Checks</t>
  </si>
  <si>
    <t>75%</t>
  </si>
  <si>
    <t>Pydantic schemas enforce field-level validation. Needs: custom error messages, field-level docs for API consumers.</t>
  </si>
  <si>
    <t>#25+26</t>
  </si>
  <si>
    <t>Threaded Processing – Per-File &amp; Per-Page</t>
  </si>
  <si>
    <t>Performance</t>
  </si>
  <si>
    <t>85%</t>
  </si>
  <si>
    <t>MERGED #25+#26. ThreadPoolExecutor in pdf_extractor.py (per-page) and process_folder.py (per-file). Sound architecture. Needs: thread count configurability.</t>
  </si>
  <si>
    <t>#27</t>
  </si>
  <si>
    <t>Thread-Safe Output Collector</t>
  </si>
  <si>
    <t>Partial</t>
  </si>
  <si>
    <t>Results collected via futures and re-sorted by index. Pattern is correct. Needs: explicit error propagation from worker threads.</t>
  </si>
  <si>
    <t>#29</t>
  </si>
  <si>
    <t>Inference Engine – Model Routing</t>
  </si>
  <si>
    <t>inference.py has ModelBundle, ModelRegistry, InferenceEngine. Solid design. Needs: graceful handling when no model is registered for a document type.</t>
  </si>
  <si>
    <t>#30+31+33</t>
  </si>
  <si>
    <t>FHIR Output – Mapping &amp; Persistence</t>
  </si>
  <si>
    <t>MERGED #30+#31+#33. fhir_mapper.py + fhir_output_saver.py both implemented. All 3 FHIR resource types mapped. Needs: output directory configurability.</t>
  </si>
  <si>
    <t>#1</t>
  </si>
  <si>
    <t>Relation Mapping – Entity Wiring</t>
  </si>
  <si>
    <t>MOVED from 20%→70%. relation_mapper.py has full RelationMapper class. 'Future batching' note is v2 scope.</t>
  </si>
  <si>
    <t>#9</t>
  </si>
  <si>
    <t>Ingestion – process_folder.py</t>
  </si>
  <si>
    <t>IN PROGRESS</t>
  </si>
  <si>
    <t>Functional with ThreadPoolExecutor. Needs: configurable input path (currently hardcoded), error handling for corrupt files, progress reporting.</t>
  </si>
  <si>
    <t>#10</t>
  </si>
  <si>
    <t>OCR &amp; Preprocessing – ocr.py</t>
  </si>
  <si>
    <t>RAISED from 60%→80%. ocr.py + preprocess.py work. Needs: Tesseract language pack configuration, error handling for missing Tesseract.</t>
  </si>
  <si>
    <t>NER Modules – Prescription, Lab, Clinical</t>
  </si>
  <si>
    <t>50%</t>
  </si>
  <si>
    <t>Schemas exist but actual NER model integration is incomplete. This is the core ML work. Needs: model files, loading logic, entity extraction pipelines.</t>
  </si>
  <si>
    <t>#8</t>
  </si>
  <si>
    <t>Core Engine – main.py Orchestration</t>
  </si>
  <si>
    <t>Core</t>
  </si>
  <si>
    <t>30%</t>
  </si>
  <si>
    <t>#9, #NEW-1</t>
  </si>
  <si>
    <t>LOWERED from 70%→30%. main.py is 21 lines with hardcoded paths. Needs: CLI args, config loading, API server mode, proper orchestration.</t>
  </si>
  <si>
    <t>#13</t>
  </si>
  <si>
    <t>Logging &amp; Debug – Structured Logging</t>
  </si>
  <si>
    <t>Infrastructure</t>
  </si>
  <si>
    <t>20%</t>
  </si>
  <si>
    <t>Minimal</t>
  </si>
  <si>
    <t>LOWERED from 60%→20%. Only 1 basic logger in fhir_output_saver.py. No structlog, no log config, no log levels. Needs full implementation.</t>
  </si>
  <si>
    <t>#14</t>
  </si>
  <si>
    <t>Testing – Unit &amp; Module Tests</t>
  </si>
  <si>
    <t>60%</t>
  </si>
  <si>
    <t>All modules</t>
  </si>
  <si>
    <t>17 test files, 758 LOC. Good coverage of validators, FHIR, formatters. RAISED from 40%→60%. Needs: OCR edge cases, API layer tests.</t>
  </si>
  <si>
    <t>#19</t>
  </si>
  <si>
    <t>Pipeline Testing – End-to-End</t>
  </si>
  <si>
    <t>#9, #11</t>
  </si>
  <si>
    <t>test_pipeline.py exists (25 lines). Needs expansion: full document-in → JSON-out flow test.</t>
  </si>
  <si>
    <t>#12</t>
  </si>
  <si>
    <t>API Layer – FastAPI REST Endpoints</t>
  </si>
  <si>
    <t>API</t>
  </si>
  <si>
    <t>0%</t>
  </si>
  <si>
    <t>#8, #NEW-1</t>
  </si>
  <si>
    <t>RESET from 50%→0%. NO FastAPI code exists in codebase. Largest remaining work item. Needs: endpoint design, request/response models, file upload handling.</t>
  </si>
  <si>
    <t>#28</t>
  </si>
  <si>
    <t>Threaded Save &amp; Export</t>
  </si>
  <si>
    <t>P3 – LOW</t>
  </si>
  <si>
    <t>40%</t>
  </si>
  <si>
    <t>Output saving is synchronous but fast. Threading here is optimisation, not v1.0 requirement. Defer if time-constrained.</t>
  </si>
  <si>
    <t>NEW-1</t>
  </si>
  <si>
    <t>Dependency Management – requirements.txt</t>
  </si>
  <si>
    <t>NEW</t>
  </si>
  <si>
    <t>RELEASE BLOCKER. No requirements.txt or pyproject.toml. Cannot install, cannot deploy, cannot reproduce. Create immediately.</t>
  </si>
  <si>
    <t>NEW-2</t>
  </si>
  <si>
    <t>CLI Interface – argparse for main.py</t>
  </si>
  <si>
    <t>main.py has hardcoded Windows paths. Add argparse with: --input-dir, --output-dir, --format (json/fhir/csv), --config, --log-level.</t>
  </si>
  <si>
    <t>NEW-3</t>
  </si>
  <si>
    <t>Configuration – YAML Config &amp; .env</t>
  </si>
  <si>
    <t>No config management exists. Create config.yaml for pipeline params + .env for secrets/paths. Use pydantic-settings or python-dotenv.</t>
  </si>
  <si>
    <t>NEW-4</t>
  </si>
  <si>
    <t>Error Handling – Custom Exceptions</t>
  </si>
  <si>
    <t>Only 9 try/except blocks, print-based errors. Create exceptions.py with: DocumentExtractionError, ValidationError, ModelNotFoundError, OCRError.</t>
  </si>
  <si>
    <t>NEW-5</t>
  </si>
  <si>
    <t>API Models – Request/Response Schemas</t>
  </si>
  <si>
    <t>FastAPI needs Pydantic request/response models. DocumentUploadRequest, ProcessingResponse, ErrorResponse, HealthCheckResponse.</t>
  </si>
  <si>
    <t>NEW-6</t>
  </si>
  <si>
    <t>Integration Testing – Full Pipeline</t>
  </si>
  <si>
    <t>#12, #11</t>
  </si>
  <si>
    <t>No end-to-end test exists. Create: upload PDF → extract → validate → FHIR map → verify JSON output. Use test PDFs in data/Test/.</t>
  </si>
  <si>
    <t>NEW-7</t>
  </si>
  <si>
    <t>Public API Surface – __init__.py exports</t>
  </si>
  <si>
    <t>All __init__.py files are empty. Define __all__ exports so consumers can: from dociq.pipeline import process_folder.</t>
  </si>
  <si>
    <t>NEW-8</t>
  </si>
  <si>
    <t>Health Check &amp; Readiness Endpoints</t>
  </si>
  <si>
    <t>/health and /ready endpoints for Docker health checks and load balancer probes. Check Tesseract + model availability.</t>
  </si>
  <si>
    <t>#5</t>
  </si>
  <si>
    <t>Monitoring – Performance Logs &amp; Metrics</t>
  </si>
  <si>
    <t>Observability</t>
  </si>
  <si>
    <t>BACKLOG</t>
  </si>
  <si>
    <t>Prometheus metrics, Grafana dashboards. v2.0 scope. Structured logging (#13) is the v1.0 prerequisite.</t>
  </si>
  <si>
    <t>#6</t>
  </si>
  <si>
    <t>Deployment – Single-Host Docker Setup</t>
  </si>
  <si>
    <t>DevOps</t>
  </si>
  <si>
    <t>#21, NEW-1</t>
  </si>
  <si>
    <t>RENAMED from 'Scalable Setup'. Single docker-compose with app + optional Mosquitto. K8s/scaling is v2.0.</t>
  </si>
  <si>
    <t>#21</t>
  </si>
  <si>
    <t>Containerization – Dockerfile &amp; Runtime</t>
  </si>
  <si>
    <t>10%</t>
  </si>
  <si>
    <t>NEW-1, #12</t>
  </si>
  <si>
    <t>Dockerfile with Python 3.10+, Tesseract, Poppler. #7 merged into this. Deferred: needs working API first.</t>
  </si>
  <si>
    <t>#22</t>
  </si>
  <si>
    <t>Model Loading &amp; Saving – NER/Classifier/OCR</t>
  </si>
  <si>
    <t>Model serialization and hot-reloading. ModelBundle supports lazy loading already. Enhance when model artifacts are stable.</t>
  </si>
  <si>
    <t>Milestone</t>
  </si>
  <si>
    <t>Tasks Included</t>
  </si>
  <si>
    <t>Target</t>
  </si>
  <si>
    <t>Exit Criteria</t>
  </si>
  <si>
    <t>M1: Infrastructure Foundation</t>
  </si>
  <si>
    <t>NEW-1 (requirements.txt), NEW-3 (config), NEW-4 (exceptions)</t>
  </si>
  <si>
    <t>NOT STARTED</t>
  </si>
  <si>
    <t>Week 1</t>
  </si>
  <si>
    <t>pip install -r requirements.txt works. Config loads from YAML. Custom exceptions importable.</t>
  </si>
  <si>
    <t>M2: Core Engine Rewrite</t>
  </si>
  <si>
    <t>#8 (main.py), NEW-2 (CLI), #13 (logging)</t>
  </si>
  <si>
    <t>Week 1-2</t>
  </si>
  <si>
    <t>python -m dociq --input-dir ./data --output-dir ./output --format fhir runs successfully. Structured logs to stdout.</t>
  </si>
  <si>
    <t>M3: Extraction Pipeline Closure</t>
  </si>
  <si>
    <t>#9 (ingestion), #10 (OCR), #2 (language), #15 (PDF type)</t>
  </si>
  <si>
    <t>Week 2</t>
  </si>
  <si>
    <t>All 4 extraction components pass unit tests. Configurable paths. Error handling for corrupt/missing files.</t>
  </si>
  <si>
    <t>M4: NER &amp; Inference Completion</t>
  </si>
  <si>
    <t>#11 (NER modules), #29 (inference engine), #1 (relation mapper)</t>
  </si>
  <si>
    <t>Week 2-3</t>
  </si>
  <si>
    <t>InferenceEngine processes all 3 document types. Models load from configurable path. Graceful fallback when model missing.</t>
  </si>
  <si>
    <t>M5: Validation &amp; Output</t>
  </si>
  <si>
    <t>#3 (validation), #4 (formatting), #23 (schema enforcement), #30+31+33 (FHIR)</t>
  </si>
  <si>
    <t>Week 3</t>
  </si>
  <si>
    <t>All outputs pass schema validation. FHIR JSON matches resource spec. Output directory configurable.</t>
  </si>
  <si>
    <t>M6: API Layer</t>
  </si>
  <si>
    <t>#12 (FastAPI), NEW-5 (API models), NEW-8 (health check)</t>
  </si>
  <si>
    <t>Week 3-4</t>
  </si>
  <si>
    <t>POST /process accepts PDF upload, returns structured JSON. GET /health returns 200. OpenAPI docs at /docs.</t>
  </si>
  <si>
    <t>M7: Testing &amp; Quality</t>
  </si>
  <si>
    <t>#14 (unit tests), #19 (pipeline tests), NEW-6 (integration)</t>
  </si>
  <si>
    <t>Week 4</t>
  </si>
  <si>
    <t>All tests pass. Integration test: PDF upload → API → structured JSON verified. Coverage &gt; 70%.</t>
  </si>
  <si>
    <t>M8: Documentation &amp; Packaging</t>
  </si>
  <si>
    <t>#20 (README), NEW-7 (__init__.py), NEW-1 (deps)</t>
  </si>
  <si>
    <t>Week 4-5</t>
  </si>
  <si>
    <t>README has quickstart, API docs, .env.example. Package installable via pip install -e . Clean imports.</t>
  </si>
  <si>
    <t>M9: Containerization (Optional v1.0)</t>
  </si>
  <si>
    <t>#21 (Dockerfile), #6 (deployment)</t>
  </si>
  <si>
    <t>Week 5+</t>
  </si>
  <si>
    <t>docker-compose up starts API server. Health check passes. Tesseract + Poppler pre-installed in image.</t>
  </si>
  <si>
    <t>DocIQ v1.0 – Kanban Audit Summary</t>
  </si>
  <si>
    <t>ORIGINAL KANBAN</t>
  </si>
  <si>
    <t>UPDATED KANBAN</t>
  </si>
  <si>
    <t>DELTA</t>
  </si>
  <si>
    <t>Total items</t>
  </si>
  <si>
    <t>33</t>
  </si>
  <si>
    <t>Duplicates found</t>
  </si>
  <si>
    <t>6 items → 3 merged</t>
  </si>
  <si>
    <t>Misplaced items</t>
  </si>
  <si>
    <t>5 items repositioned</t>
  </si>
  <si>
    <t>Missing items (NEW)</t>
  </si>
  <si>
    <t>8 items added</t>
  </si>
  <si>
    <t>Items with inflated %</t>
  </si>
  <si>
    <t>4 items corrected</t>
  </si>
  <si>
    <t>UPDATED COUNTS</t>
  </si>
  <si>
    <t>Count</t>
  </si>
  <si>
    <t>V1.0 Required</t>
  </si>
  <si>
    <t>3</t>
  </si>
  <si>
    <t>13</t>
  </si>
  <si>
    <t>12</t>
  </si>
  <si>
    <t>9</t>
  </si>
  <si>
    <t>8</t>
  </si>
  <si>
    <t>NEW (expert-added)</t>
  </si>
  <si>
    <t>BACKLOG (deferred)</t>
  </si>
  <si>
    <t>4</t>
  </si>
  <si>
    <t>0</t>
  </si>
  <si>
    <t>TOTAL</t>
  </si>
  <si>
    <t>V1.0 RELEASE ESTIMATE</t>
  </si>
  <si>
    <t>Remaining work items</t>
  </si>
  <si>
    <t>Items that need work before release</t>
  </si>
  <si>
    <t>Estimated weeks</t>
  </si>
  <si>
    <t>4-5</t>
  </si>
  <si>
    <t>Assumes 1 developer, full-time. Parallel tracks possible.</t>
  </si>
  <si>
    <t>Biggest risk</t>
  </si>
  <si>
    <t>NER model integration (#11) – core ML work with uncertain scope</t>
  </si>
  <si>
    <t>Fastest win</t>
  </si>
  <si>
    <t>NEW-1 (requirements.txt) + NEW-3 (config) – 1 day, unblocks everything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</si>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</sst>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6100"/>
      <name val="Arial"/>
      <charset val="1"/>
    </font>
    <font>
      <b/>
      <sz val="10"/>
      <color rgb="FF006100"/>
      <name val="Arial"/>
      <charset val="1"/>
    </font>
    <font>
      <sz val="10"/>
      <color rgb="FF806000"/>
      <name val="Arial"/>
      <charset val="1"/>
    </font>
    <font>
      <sz val="10"/>
      <color rgb="FF1F4E79"/>
      <name val="Arial"/>
      <charset val="1"/>
    </font>
    <font>
      <b/>
      <sz val="10"/>
      <color rgb="FF974706"/>
      <name val="Arial"/>
      <charset val="1"/>
    </font>
    <font>
      <sz val="10"/>
      <color rgb="FF666666"/>
      <name val="Arial"/>
      <charset val="1"/>
    </font>
    <font>
      <b/>
      <sz val="10"/>
      <color rgb="FF9C0006"/>
      <name val="Arial"/>
      <charset val="1"/>
    </font>
    <font>
      <b/>
      <sz val="10"/>
      <color rgb="FF1F4E79"/>
      <name val="Arial"/>
      <charset val="1"/>
    </font>
    <font>
      <b/>
      <sz val="10"/>
      <color rgb="FF806000"/>
      <name val="Arial"/>
      <charset val="1"/>
    </font>
    <font>
      <b/>
      <sz val="14"/>
      <color rgb="FF1F4E79"/>
      <name val="Arial"/>
      <charset val="1"/>
    </font>
    <font>
      <b/>
      <sz val="10"/>
      <name val="Arial"/>
      <charset val="1"/>
    </font>
    <font>
      <b/>
      <sz val="11"/>
      <color theme="1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C6EFCE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9" borderId="0" xfId="0" applyFont="1" applyFill="1" applyAlignment="1">
      <alignment horizontal="center" vertical="center"/>
    </xf>
    <xf numFmtId="0" fontId="1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74706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0006"/>
  </sheetPr>
  <dimension ref="A1:E16"/>
  <sheetViews>
    <sheetView zoomScaleNormal="145" workbookViewId="0">
      <pane ySplit="1" topLeftCell="A2" activePane="bottomLeft" state="frozen"/>
      <selection pane="bottomLeft" activeCell="B18" sqref="B18"/>
    </sheetView>
  </sheetViews>
  <sheetFormatPr defaultColWidth="8.6328125" defaultRowHeight="14.5" x14ac:dyDescent="0.35"/>
  <cols>
    <col min="1" max="1" width="5" customWidth="1"/>
    <col min="2" max="2" width="18" customWidth="1"/>
    <col min="3" max="3" width="28" customWidth="1"/>
    <col min="4" max="5" width="4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7.5" x14ac:dyDescent="0.3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50" x14ac:dyDescent="0.35">
      <c r="A3" s="4">
        <v>2</v>
      </c>
      <c r="B3" s="4" t="s">
        <v>5</v>
      </c>
      <c r="C3" s="4" t="s">
        <v>9</v>
      </c>
      <c r="D3" s="4" t="s">
        <v>10</v>
      </c>
      <c r="E3" s="4" t="s">
        <v>11</v>
      </c>
    </row>
    <row r="4" spans="1:5" ht="37.5" x14ac:dyDescent="0.35">
      <c r="A4" s="3">
        <v>3</v>
      </c>
      <c r="B4" s="3" t="s">
        <v>5</v>
      </c>
      <c r="C4" s="3" t="s">
        <v>12</v>
      </c>
      <c r="D4" s="3" t="s">
        <v>13</v>
      </c>
      <c r="E4" s="3" t="s">
        <v>14</v>
      </c>
    </row>
    <row r="5" spans="1:5" ht="37.5" x14ac:dyDescent="0.35">
      <c r="A5" s="4">
        <v>4</v>
      </c>
      <c r="B5" s="4" t="s">
        <v>15</v>
      </c>
      <c r="C5" s="4" t="s">
        <v>16</v>
      </c>
      <c r="D5" s="4" t="s">
        <v>17</v>
      </c>
      <c r="E5" s="4" t="s">
        <v>18</v>
      </c>
    </row>
    <row r="6" spans="1:5" ht="37.5" x14ac:dyDescent="0.35">
      <c r="A6" s="3">
        <v>5</v>
      </c>
      <c r="B6" s="3" t="s">
        <v>15</v>
      </c>
      <c r="C6" s="3" t="s">
        <v>19</v>
      </c>
      <c r="D6" s="3" t="s">
        <v>20</v>
      </c>
      <c r="E6" s="3" t="s">
        <v>21</v>
      </c>
    </row>
    <row r="7" spans="1:5" ht="37.5" x14ac:dyDescent="0.35">
      <c r="A7" s="4">
        <v>6</v>
      </c>
      <c r="B7" s="4" t="s">
        <v>15</v>
      </c>
      <c r="C7" s="4" t="s">
        <v>22</v>
      </c>
      <c r="D7" s="4" t="s">
        <v>23</v>
      </c>
      <c r="E7" s="4" t="s">
        <v>24</v>
      </c>
    </row>
    <row r="8" spans="1:5" ht="25" x14ac:dyDescent="0.35">
      <c r="A8" s="3">
        <v>7</v>
      </c>
      <c r="B8" s="3" t="s">
        <v>25</v>
      </c>
      <c r="C8" s="3" t="s">
        <v>26</v>
      </c>
      <c r="D8" s="3" t="s">
        <v>27</v>
      </c>
      <c r="E8" s="3" t="s">
        <v>28</v>
      </c>
    </row>
    <row r="9" spans="1:5" ht="25" x14ac:dyDescent="0.35">
      <c r="A9" s="4">
        <v>8</v>
      </c>
      <c r="B9" s="4" t="s">
        <v>25</v>
      </c>
      <c r="C9" s="4" t="s">
        <v>29</v>
      </c>
      <c r="D9" s="4" t="s">
        <v>30</v>
      </c>
      <c r="E9" s="4" t="s">
        <v>31</v>
      </c>
    </row>
    <row r="10" spans="1:5" ht="37.5" x14ac:dyDescent="0.35">
      <c r="A10" s="3">
        <v>9</v>
      </c>
      <c r="B10" s="3" t="s">
        <v>25</v>
      </c>
      <c r="C10" s="3" t="s">
        <v>32</v>
      </c>
      <c r="D10" s="3" t="s">
        <v>33</v>
      </c>
      <c r="E10" s="3" t="s">
        <v>34</v>
      </c>
    </row>
    <row r="11" spans="1:5" ht="25" x14ac:dyDescent="0.35">
      <c r="A11" s="4">
        <v>10</v>
      </c>
      <c r="B11" s="4" t="s">
        <v>25</v>
      </c>
      <c r="C11" s="4" t="s">
        <v>35</v>
      </c>
      <c r="D11" s="4" t="s">
        <v>36</v>
      </c>
      <c r="E11" s="4" t="s">
        <v>37</v>
      </c>
    </row>
    <row r="12" spans="1:5" ht="25" x14ac:dyDescent="0.35">
      <c r="A12" s="3">
        <v>11</v>
      </c>
      <c r="B12" s="3" t="s">
        <v>25</v>
      </c>
      <c r="C12" s="3" t="s">
        <v>38</v>
      </c>
      <c r="D12" s="3" t="s">
        <v>39</v>
      </c>
      <c r="E12" s="3" t="s">
        <v>40</v>
      </c>
    </row>
    <row r="13" spans="1:5" ht="37.5" x14ac:dyDescent="0.35">
      <c r="A13" s="4">
        <v>12</v>
      </c>
      <c r="B13" s="4" t="s">
        <v>25</v>
      </c>
      <c r="C13" s="4" t="s">
        <v>41</v>
      </c>
      <c r="D13" s="4" t="s">
        <v>42</v>
      </c>
      <c r="E13" s="4" t="s">
        <v>43</v>
      </c>
    </row>
    <row r="14" spans="1:5" ht="25" x14ac:dyDescent="0.35">
      <c r="A14" s="3">
        <v>13</v>
      </c>
      <c r="B14" s="3" t="s">
        <v>44</v>
      </c>
      <c r="C14" s="3" t="s">
        <v>45</v>
      </c>
      <c r="D14" s="3" t="s">
        <v>46</v>
      </c>
      <c r="E14" s="3" t="s">
        <v>47</v>
      </c>
    </row>
    <row r="15" spans="1:5" ht="37.5" x14ac:dyDescent="0.35">
      <c r="A15" s="4">
        <v>14</v>
      </c>
      <c r="B15" s="4" t="s">
        <v>44</v>
      </c>
      <c r="C15" s="4" t="s">
        <v>48</v>
      </c>
      <c r="D15" s="4" t="s">
        <v>49</v>
      </c>
      <c r="E15" s="4" t="s">
        <v>50</v>
      </c>
    </row>
    <row r="16" spans="1:5" ht="25" x14ac:dyDescent="0.35">
      <c r="A16" s="3">
        <v>15</v>
      </c>
      <c r="B16" s="3" t="s">
        <v>51</v>
      </c>
      <c r="C16" s="3" t="s">
        <v>52</v>
      </c>
      <c r="D16" s="3" t="s">
        <v>53</v>
      </c>
      <c r="E16" s="3" t="s">
        <v>54</v>
      </c>
    </row>
  </sheetData>
  <autoFilter ref="A1:E1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2E75B6"/>
  </sheetPr>
  <dimension ref="A1:K38"/>
  <sheetViews>
    <sheetView tabSelected="1" zoomScale="83" zoomScaleNormal="145" workbookViewId="0">
      <pane ySplit="1" topLeftCell="A2" activePane="bottomLeft" state="frozen"/>
      <selection pane="bottomLeft" activeCell="A11" sqref="A11:B11"/>
    </sheetView>
  </sheetViews>
  <sheetFormatPr defaultColWidth="8.6328125" defaultRowHeight="14.5" x14ac:dyDescent="0.35"/>
  <cols>
    <col min="1" max="1" width="12.26953125" customWidth="1"/>
    <col min="2" max="2" width="38" customWidth="1"/>
    <col min="3" max="3" width="20" customWidth="1"/>
    <col min="4" max="4" width="15" customWidth="1"/>
    <col min="5" max="5" width="16" customWidth="1"/>
    <col min="6" max="6" width="10" customWidth="1"/>
    <col min="7" max="7" width="13" customWidth="1"/>
    <col min="8" max="8" width="14" customWidth="1"/>
    <col min="9" max="9" width="13" customWidth="1"/>
    <col min="10" max="10" width="50" customWidth="1"/>
    <col min="11" max="11" width="10.7265625" bestFit="1" customWidth="1"/>
  </cols>
  <sheetData>
    <row r="1" spans="1:11" ht="26" x14ac:dyDescent="0.3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</row>
    <row r="2" spans="1:11" ht="25" hidden="1" x14ac:dyDescent="0.35">
      <c r="A2" s="5" t="s">
        <v>65</v>
      </c>
      <c r="B2" s="4" t="s">
        <v>66</v>
      </c>
      <c r="C2" s="5" t="s">
        <v>67</v>
      </c>
      <c r="D2" s="6" t="s">
        <v>68</v>
      </c>
      <c r="E2" s="7" t="s">
        <v>69</v>
      </c>
      <c r="F2" s="5" t="s">
        <v>70</v>
      </c>
      <c r="G2" s="5" t="s">
        <v>71</v>
      </c>
      <c r="H2" s="4" t="s">
        <v>72</v>
      </c>
      <c r="I2" s="8" t="s">
        <v>71</v>
      </c>
      <c r="J2" s="4" t="s">
        <v>73</v>
      </c>
      <c r="K2" s="23" t="s">
        <v>303</v>
      </c>
    </row>
    <row r="3" spans="1:11" hidden="1" x14ac:dyDescent="0.35">
      <c r="A3" s="5" t="s">
        <v>74</v>
      </c>
      <c r="B3" s="4" t="s">
        <v>75</v>
      </c>
      <c r="C3" s="5" t="s">
        <v>76</v>
      </c>
      <c r="D3" s="6" t="s">
        <v>68</v>
      </c>
      <c r="E3" s="9" t="s">
        <v>77</v>
      </c>
      <c r="F3" s="5" t="s">
        <v>70</v>
      </c>
      <c r="G3" s="5" t="s">
        <v>71</v>
      </c>
      <c r="H3" s="4" t="s">
        <v>72</v>
      </c>
      <c r="I3" s="8" t="s">
        <v>71</v>
      </c>
      <c r="J3" s="4" t="s">
        <v>78</v>
      </c>
      <c r="K3" s="23" t="s">
        <v>303</v>
      </c>
    </row>
    <row r="4" spans="1:11" hidden="1" x14ac:dyDescent="0.35">
      <c r="A4" s="5" t="s">
        <v>79</v>
      </c>
      <c r="B4" s="4" t="s">
        <v>80</v>
      </c>
      <c r="C4" s="5" t="s">
        <v>76</v>
      </c>
      <c r="D4" s="6" t="s">
        <v>68</v>
      </c>
      <c r="E4" s="10" t="s">
        <v>81</v>
      </c>
      <c r="F4" s="5" t="s">
        <v>70</v>
      </c>
      <c r="G4" s="5" t="s">
        <v>71</v>
      </c>
      <c r="H4" s="4" t="s">
        <v>72</v>
      </c>
      <c r="I4" s="8" t="s">
        <v>71</v>
      </c>
      <c r="J4" s="4" t="s">
        <v>82</v>
      </c>
      <c r="K4" s="23" t="s">
        <v>303</v>
      </c>
    </row>
    <row r="5" spans="1:11" ht="37.5" hidden="1" x14ac:dyDescent="0.35">
      <c r="A5" s="5" t="s">
        <v>83</v>
      </c>
      <c r="B5" s="4" t="s">
        <v>84</v>
      </c>
      <c r="C5" s="5" t="s">
        <v>85</v>
      </c>
      <c r="D5" s="11" t="s">
        <v>86</v>
      </c>
      <c r="E5" s="9" t="s">
        <v>77</v>
      </c>
      <c r="F5" s="5" t="s">
        <v>87</v>
      </c>
      <c r="G5" s="5" t="s">
        <v>71</v>
      </c>
      <c r="H5" s="4" t="s">
        <v>72</v>
      </c>
      <c r="I5" s="8" t="s">
        <v>71</v>
      </c>
      <c r="J5" s="4" t="s">
        <v>88</v>
      </c>
      <c r="K5" s="23" t="s">
        <v>303</v>
      </c>
    </row>
    <row r="6" spans="1:11" ht="37.5" hidden="1" x14ac:dyDescent="0.35">
      <c r="A6" s="5" t="s">
        <v>89</v>
      </c>
      <c r="B6" s="4" t="s">
        <v>90</v>
      </c>
      <c r="C6" s="5" t="s">
        <v>91</v>
      </c>
      <c r="D6" s="11" t="s">
        <v>86</v>
      </c>
      <c r="E6" s="7" t="s">
        <v>69</v>
      </c>
      <c r="F6" s="5" t="s">
        <v>87</v>
      </c>
      <c r="G6" s="5" t="s">
        <v>71</v>
      </c>
      <c r="H6" s="4" t="s">
        <v>72</v>
      </c>
      <c r="I6" s="8" t="s">
        <v>71</v>
      </c>
      <c r="J6" s="4" t="s">
        <v>92</v>
      </c>
      <c r="K6" s="23" t="s">
        <v>303</v>
      </c>
    </row>
    <row r="7" spans="1:11" ht="25" hidden="1" x14ac:dyDescent="0.35">
      <c r="A7" s="5" t="s">
        <v>93</v>
      </c>
      <c r="B7" s="4" t="s">
        <v>94</v>
      </c>
      <c r="C7" s="5" t="s">
        <v>95</v>
      </c>
      <c r="D7" s="11" t="s">
        <v>86</v>
      </c>
      <c r="E7" s="9" t="s">
        <v>77</v>
      </c>
      <c r="F7" s="5" t="s">
        <v>87</v>
      </c>
      <c r="G7" s="5" t="s">
        <v>71</v>
      </c>
      <c r="H7" s="4" t="s">
        <v>72</v>
      </c>
      <c r="I7" s="8" t="s">
        <v>71</v>
      </c>
      <c r="J7" s="4" t="s">
        <v>96</v>
      </c>
      <c r="K7" s="23" t="s">
        <v>303</v>
      </c>
    </row>
    <row r="8" spans="1:11" ht="37.5" hidden="1" x14ac:dyDescent="0.35">
      <c r="A8" s="5" t="s">
        <v>97</v>
      </c>
      <c r="B8" s="4" t="s">
        <v>98</v>
      </c>
      <c r="C8" s="5" t="s">
        <v>85</v>
      </c>
      <c r="D8" s="11" t="s">
        <v>86</v>
      </c>
      <c r="E8" s="9" t="s">
        <v>77</v>
      </c>
      <c r="F8" s="5" t="s">
        <v>87</v>
      </c>
      <c r="G8" s="5" t="s">
        <v>71</v>
      </c>
      <c r="H8" s="4" t="s">
        <v>72</v>
      </c>
      <c r="I8" s="8" t="s">
        <v>71</v>
      </c>
      <c r="J8" s="4" t="s">
        <v>99</v>
      </c>
      <c r="K8" s="23" t="s">
        <v>303</v>
      </c>
    </row>
    <row r="9" spans="1:11" ht="37.5" hidden="1" x14ac:dyDescent="0.35">
      <c r="A9" s="5" t="s">
        <v>100</v>
      </c>
      <c r="B9" s="4" t="s">
        <v>101</v>
      </c>
      <c r="C9" s="5" t="s">
        <v>102</v>
      </c>
      <c r="D9" s="11" t="s">
        <v>86</v>
      </c>
      <c r="E9" s="10" t="s">
        <v>81</v>
      </c>
      <c r="F9" s="5" t="s">
        <v>87</v>
      </c>
      <c r="G9" s="5" t="s">
        <v>71</v>
      </c>
      <c r="H9" s="4" t="s">
        <v>103</v>
      </c>
      <c r="I9" s="12" t="s">
        <v>104</v>
      </c>
      <c r="J9" s="4" t="s">
        <v>105</v>
      </c>
      <c r="K9" s="23" t="s">
        <v>303</v>
      </c>
    </row>
    <row r="10" spans="1:11" ht="25" hidden="1" x14ac:dyDescent="0.35">
      <c r="A10" s="5" t="s">
        <v>106</v>
      </c>
      <c r="B10" s="4" t="s">
        <v>107</v>
      </c>
      <c r="C10" s="5" t="s">
        <v>108</v>
      </c>
      <c r="D10" s="11" t="s">
        <v>86</v>
      </c>
      <c r="E10" s="10" t="s">
        <v>81</v>
      </c>
      <c r="F10" s="5" t="s">
        <v>109</v>
      </c>
      <c r="G10" s="5" t="s">
        <v>71</v>
      </c>
      <c r="H10" s="4" t="s">
        <v>72</v>
      </c>
      <c r="I10" s="8" t="s">
        <v>71</v>
      </c>
      <c r="J10" s="4" t="s">
        <v>110</v>
      </c>
      <c r="K10" s="23" t="s">
        <v>303</v>
      </c>
    </row>
    <row r="11" spans="1:11" ht="25" x14ac:dyDescent="0.35">
      <c r="A11" s="5" t="s">
        <v>111</v>
      </c>
      <c r="B11" s="4" t="s">
        <v>112</v>
      </c>
      <c r="C11" s="5" t="s">
        <v>113</v>
      </c>
      <c r="D11" s="11" t="s">
        <v>86</v>
      </c>
      <c r="E11" s="9" t="s">
        <v>77</v>
      </c>
      <c r="F11" s="5" t="s">
        <v>114</v>
      </c>
      <c r="G11" s="5" t="s">
        <v>71</v>
      </c>
      <c r="H11" s="4" t="s">
        <v>115</v>
      </c>
      <c r="I11" s="8" t="s">
        <v>71</v>
      </c>
      <c r="J11" s="4" t="s">
        <v>116</v>
      </c>
    </row>
    <row r="12" spans="1:11" ht="25" hidden="1" x14ac:dyDescent="0.35">
      <c r="A12" s="5" t="s">
        <v>117</v>
      </c>
      <c r="B12" s="4" t="s">
        <v>118</v>
      </c>
      <c r="C12" s="5" t="s">
        <v>91</v>
      </c>
      <c r="D12" s="11" t="s">
        <v>86</v>
      </c>
      <c r="E12" s="9" t="s">
        <v>77</v>
      </c>
      <c r="F12" s="5" t="s">
        <v>119</v>
      </c>
      <c r="G12" s="5" t="s">
        <v>71</v>
      </c>
      <c r="H12" s="4" t="s">
        <v>89</v>
      </c>
      <c r="I12" s="8" t="s">
        <v>71</v>
      </c>
      <c r="J12" s="4" t="s">
        <v>120</v>
      </c>
      <c r="K12" s="23" t="s">
        <v>303</v>
      </c>
    </row>
    <row r="13" spans="1:11" ht="37.5" hidden="1" x14ac:dyDescent="0.35">
      <c r="A13" s="5" t="s">
        <v>121</v>
      </c>
      <c r="B13" s="4" t="s">
        <v>122</v>
      </c>
      <c r="C13" s="5" t="s">
        <v>123</v>
      </c>
      <c r="D13" s="11" t="s">
        <v>86</v>
      </c>
      <c r="E13" s="9" t="s">
        <v>77</v>
      </c>
      <c r="F13" s="5" t="s">
        <v>124</v>
      </c>
      <c r="G13" s="5" t="s">
        <v>71</v>
      </c>
      <c r="H13" s="4" t="s">
        <v>72</v>
      </c>
      <c r="I13" s="8" t="s">
        <v>71</v>
      </c>
      <c r="J13" s="4" t="s">
        <v>125</v>
      </c>
      <c r="K13" s="23" t="s">
        <v>303</v>
      </c>
    </row>
    <row r="14" spans="1:11" ht="37.5" hidden="1" x14ac:dyDescent="0.35">
      <c r="A14" s="5" t="s">
        <v>126</v>
      </c>
      <c r="B14" s="4" t="s">
        <v>127</v>
      </c>
      <c r="C14" s="5" t="s">
        <v>123</v>
      </c>
      <c r="D14" s="11" t="s">
        <v>86</v>
      </c>
      <c r="E14" s="10" t="s">
        <v>81</v>
      </c>
      <c r="F14" s="5" t="s">
        <v>114</v>
      </c>
      <c r="G14" s="5" t="s">
        <v>128</v>
      </c>
      <c r="H14" s="4" t="s">
        <v>121</v>
      </c>
      <c r="I14" s="8" t="s">
        <v>71</v>
      </c>
      <c r="J14" s="4" t="s">
        <v>129</v>
      </c>
      <c r="K14" s="23" t="s">
        <v>303</v>
      </c>
    </row>
    <row r="15" spans="1:11" ht="37.5" hidden="1" x14ac:dyDescent="0.35">
      <c r="A15" s="5" t="s">
        <v>130</v>
      </c>
      <c r="B15" s="4" t="s">
        <v>131</v>
      </c>
      <c r="C15" s="5" t="s">
        <v>102</v>
      </c>
      <c r="D15" s="11" t="s">
        <v>86</v>
      </c>
      <c r="E15" s="7" t="s">
        <v>69</v>
      </c>
      <c r="F15" s="5" t="s">
        <v>119</v>
      </c>
      <c r="G15" s="5" t="s">
        <v>71</v>
      </c>
      <c r="H15" s="4" t="s">
        <v>103</v>
      </c>
      <c r="I15" s="8" t="s">
        <v>71</v>
      </c>
      <c r="J15" s="4" t="s">
        <v>132</v>
      </c>
      <c r="K15" s="23" t="s">
        <v>303</v>
      </c>
    </row>
    <row r="16" spans="1:11" ht="37.5" hidden="1" x14ac:dyDescent="0.35">
      <c r="A16" s="5" t="s">
        <v>133</v>
      </c>
      <c r="B16" s="4" t="s">
        <v>134</v>
      </c>
      <c r="C16" s="5" t="s">
        <v>95</v>
      </c>
      <c r="D16" s="11" t="s">
        <v>86</v>
      </c>
      <c r="E16" s="9" t="s">
        <v>77</v>
      </c>
      <c r="F16" s="5" t="s">
        <v>124</v>
      </c>
      <c r="G16" s="5" t="s">
        <v>71</v>
      </c>
      <c r="H16" s="4" t="s">
        <v>22</v>
      </c>
      <c r="I16" s="8" t="s">
        <v>71</v>
      </c>
      <c r="J16" s="4" t="s">
        <v>135</v>
      </c>
      <c r="K16" s="23" t="s">
        <v>303</v>
      </c>
    </row>
    <row r="17" spans="1:11" ht="25" hidden="1" x14ac:dyDescent="0.35">
      <c r="A17" s="5" t="s">
        <v>136</v>
      </c>
      <c r="B17" s="4" t="s">
        <v>137</v>
      </c>
      <c r="C17" s="5" t="s">
        <v>102</v>
      </c>
      <c r="D17" s="11" t="s">
        <v>86</v>
      </c>
      <c r="E17" s="10" t="s">
        <v>81</v>
      </c>
      <c r="F17" s="5" t="s">
        <v>114</v>
      </c>
      <c r="G17" s="5" t="s">
        <v>71</v>
      </c>
      <c r="H17" s="4" t="s">
        <v>130</v>
      </c>
      <c r="I17" s="8" t="s">
        <v>71</v>
      </c>
      <c r="J17" s="4" t="s">
        <v>138</v>
      </c>
      <c r="K17" s="23" t="s">
        <v>303</v>
      </c>
    </row>
    <row r="18" spans="1:11" ht="37.5" hidden="1" x14ac:dyDescent="0.35">
      <c r="A18" s="5" t="s">
        <v>139</v>
      </c>
      <c r="B18" s="24" t="s">
        <v>140</v>
      </c>
      <c r="C18" s="5" t="s">
        <v>85</v>
      </c>
      <c r="D18" s="13" t="s">
        <v>141</v>
      </c>
      <c r="E18" s="7" t="s">
        <v>69</v>
      </c>
      <c r="F18" s="5" t="s">
        <v>87</v>
      </c>
      <c r="G18" s="5" t="s">
        <v>71</v>
      </c>
      <c r="H18" s="4" t="s">
        <v>72</v>
      </c>
      <c r="I18" s="8" t="s">
        <v>71</v>
      </c>
      <c r="J18" s="4" t="s">
        <v>142</v>
      </c>
      <c r="K18" s="23" t="s">
        <v>303</v>
      </c>
    </row>
    <row r="19" spans="1:11" ht="37.5" hidden="1" x14ac:dyDescent="0.35">
      <c r="A19" s="5" t="s">
        <v>143</v>
      </c>
      <c r="B19" s="4" t="s">
        <v>144</v>
      </c>
      <c r="C19" s="5" t="s">
        <v>85</v>
      </c>
      <c r="D19" s="13" t="s">
        <v>141</v>
      </c>
      <c r="E19" s="9" t="s">
        <v>77</v>
      </c>
      <c r="F19" s="5" t="s">
        <v>87</v>
      </c>
      <c r="G19" s="5" t="s">
        <v>71</v>
      </c>
      <c r="H19" s="4" t="s">
        <v>72</v>
      </c>
      <c r="I19" s="8" t="s">
        <v>71</v>
      </c>
      <c r="J19" s="4" t="s">
        <v>145</v>
      </c>
      <c r="K19" s="23" t="s">
        <v>303</v>
      </c>
    </row>
    <row r="20" spans="1:11" ht="37.5" hidden="1" x14ac:dyDescent="0.35">
      <c r="A20" s="5" t="s">
        <v>103</v>
      </c>
      <c r="B20" s="4" t="s">
        <v>146</v>
      </c>
      <c r="C20" s="5" t="s">
        <v>102</v>
      </c>
      <c r="D20" s="13" t="s">
        <v>141</v>
      </c>
      <c r="E20" s="7" t="s">
        <v>69</v>
      </c>
      <c r="F20" s="5" t="s">
        <v>147</v>
      </c>
      <c r="G20" s="5" t="s">
        <v>128</v>
      </c>
      <c r="H20" s="4" t="s">
        <v>130</v>
      </c>
      <c r="I20" s="8" t="s">
        <v>71</v>
      </c>
      <c r="J20" s="4" t="s">
        <v>148</v>
      </c>
      <c r="K20" s="23" t="s">
        <v>303</v>
      </c>
    </row>
    <row r="21" spans="1:11" ht="37.5" hidden="1" x14ac:dyDescent="0.35">
      <c r="A21" s="5" t="s">
        <v>149</v>
      </c>
      <c r="B21" s="4" t="s">
        <v>150</v>
      </c>
      <c r="C21" s="5" t="s">
        <v>151</v>
      </c>
      <c r="D21" s="13" t="s">
        <v>141</v>
      </c>
      <c r="E21" s="7" t="s">
        <v>69</v>
      </c>
      <c r="F21" s="5" t="s">
        <v>152</v>
      </c>
      <c r="G21" s="5" t="s">
        <v>128</v>
      </c>
      <c r="H21" s="4" t="s">
        <v>153</v>
      </c>
      <c r="I21" s="8" t="s">
        <v>71</v>
      </c>
      <c r="J21" s="4" t="s">
        <v>154</v>
      </c>
      <c r="K21" s="23" t="s">
        <v>303</v>
      </c>
    </row>
    <row r="22" spans="1:11" ht="37.5" hidden="1" x14ac:dyDescent="0.35">
      <c r="A22" s="5" t="s">
        <v>155</v>
      </c>
      <c r="B22" s="4" t="s">
        <v>156</v>
      </c>
      <c r="C22" s="5" t="s">
        <v>157</v>
      </c>
      <c r="D22" s="13" t="s">
        <v>141</v>
      </c>
      <c r="E22" s="9" t="s">
        <v>77</v>
      </c>
      <c r="F22" s="5" t="s">
        <v>158</v>
      </c>
      <c r="G22" s="5" t="s">
        <v>159</v>
      </c>
      <c r="H22" s="4" t="s">
        <v>72</v>
      </c>
      <c r="I22" s="8" t="s">
        <v>71</v>
      </c>
      <c r="J22" s="4" t="s">
        <v>160</v>
      </c>
      <c r="K22" s="23" t="s">
        <v>303</v>
      </c>
    </row>
    <row r="23" spans="1:11" ht="37.5" hidden="1" x14ac:dyDescent="0.35">
      <c r="A23" s="5" t="s">
        <v>161</v>
      </c>
      <c r="B23" s="4" t="s">
        <v>162</v>
      </c>
      <c r="C23" s="5" t="s">
        <v>76</v>
      </c>
      <c r="D23" s="13" t="s">
        <v>141</v>
      </c>
      <c r="E23" s="9" t="s">
        <v>77</v>
      </c>
      <c r="F23" s="5" t="s">
        <v>163</v>
      </c>
      <c r="G23" s="5" t="s">
        <v>71</v>
      </c>
      <c r="H23" s="4" t="s">
        <v>164</v>
      </c>
      <c r="I23" s="8" t="s">
        <v>71</v>
      </c>
      <c r="J23" s="4" t="s">
        <v>165</v>
      </c>
      <c r="K23" s="23" t="s">
        <v>303</v>
      </c>
    </row>
    <row r="24" spans="1:11" ht="25" hidden="1" x14ac:dyDescent="0.35">
      <c r="A24" s="5" t="s">
        <v>166</v>
      </c>
      <c r="B24" s="4" t="s">
        <v>167</v>
      </c>
      <c r="C24" s="5" t="s">
        <v>76</v>
      </c>
      <c r="D24" s="13" t="s">
        <v>141</v>
      </c>
      <c r="E24" s="9" t="s">
        <v>77</v>
      </c>
      <c r="F24" s="5" t="s">
        <v>152</v>
      </c>
      <c r="G24" s="5" t="s">
        <v>128</v>
      </c>
      <c r="H24" s="4" t="s">
        <v>168</v>
      </c>
      <c r="I24" s="8" t="s">
        <v>71</v>
      </c>
      <c r="J24" s="4" t="s">
        <v>169</v>
      </c>
      <c r="K24" s="23" t="s">
        <v>303</v>
      </c>
    </row>
    <row r="25" spans="1:11" ht="37.5" hidden="1" x14ac:dyDescent="0.35">
      <c r="A25" s="5" t="s">
        <v>170</v>
      </c>
      <c r="B25" s="4" t="s">
        <v>171</v>
      </c>
      <c r="C25" s="5" t="s">
        <v>172</v>
      </c>
      <c r="D25" s="13" t="s">
        <v>141</v>
      </c>
      <c r="E25" s="7" t="s">
        <v>69</v>
      </c>
      <c r="F25" s="5" t="s">
        <v>173</v>
      </c>
      <c r="G25" s="5" t="s">
        <v>104</v>
      </c>
      <c r="H25" s="4" t="s">
        <v>174</v>
      </c>
      <c r="I25" s="8" t="s">
        <v>71</v>
      </c>
      <c r="J25" s="4" t="s">
        <v>175</v>
      </c>
      <c r="K25" s="23" t="s">
        <v>303</v>
      </c>
    </row>
    <row r="26" spans="1:11" ht="37.5" hidden="1" x14ac:dyDescent="0.35">
      <c r="A26" s="5" t="s">
        <v>176</v>
      </c>
      <c r="B26" s="4" t="s">
        <v>177</v>
      </c>
      <c r="C26" s="5" t="s">
        <v>123</v>
      </c>
      <c r="D26" s="13" t="s">
        <v>141</v>
      </c>
      <c r="E26" s="12" t="s">
        <v>178</v>
      </c>
      <c r="F26" s="5" t="s">
        <v>179</v>
      </c>
      <c r="G26" s="5" t="s">
        <v>128</v>
      </c>
      <c r="H26" s="4" t="s">
        <v>121</v>
      </c>
      <c r="I26" s="12" t="s">
        <v>104</v>
      </c>
      <c r="J26" s="4" t="s">
        <v>180</v>
      </c>
      <c r="K26" s="23" t="s">
        <v>303</v>
      </c>
    </row>
    <row r="27" spans="1:11" ht="37.5" hidden="1" x14ac:dyDescent="0.35">
      <c r="A27" s="14" t="s">
        <v>181</v>
      </c>
      <c r="B27" s="15" t="s">
        <v>182</v>
      </c>
      <c r="C27" s="5" t="s">
        <v>157</v>
      </c>
      <c r="D27" s="16" t="s">
        <v>183</v>
      </c>
      <c r="E27" s="7" t="s">
        <v>69</v>
      </c>
      <c r="F27" s="5" t="s">
        <v>173</v>
      </c>
      <c r="G27" s="5" t="s">
        <v>104</v>
      </c>
      <c r="H27" s="4" t="s">
        <v>72</v>
      </c>
      <c r="I27" s="8" t="s">
        <v>71</v>
      </c>
      <c r="J27" s="4" t="s">
        <v>184</v>
      </c>
      <c r="K27" s="23" t="s">
        <v>303</v>
      </c>
    </row>
    <row r="28" spans="1:11" ht="37.5" hidden="1" x14ac:dyDescent="0.35">
      <c r="A28" s="14" t="s">
        <v>185</v>
      </c>
      <c r="B28" s="15" t="s">
        <v>186</v>
      </c>
      <c r="C28" s="5" t="s">
        <v>151</v>
      </c>
      <c r="D28" s="16" t="s">
        <v>183</v>
      </c>
      <c r="E28" s="7" t="s">
        <v>69</v>
      </c>
      <c r="F28" s="5" t="s">
        <v>173</v>
      </c>
      <c r="G28" s="5" t="s">
        <v>104</v>
      </c>
      <c r="H28" s="4" t="s">
        <v>149</v>
      </c>
      <c r="I28" s="8" t="s">
        <v>71</v>
      </c>
      <c r="J28" s="4" t="s">
        <v>187</v>
      </c>
      <c r="K28" s="23" t="s">
        <v>303</v>
      </c>
    </row>
    <row r="29" spans="1:11" ht="37.5" hidden="1" x14ac:dyDescent="0.35">
      <c r="A29" s="14" t="s">
        <v>188</v>
      </c>
      <c r="B29" s="15" t="s">
        <v>189</v>
      </c>
      <c r="C29" s="5" t="s">
        <v>157</v>
      </c>
      <c r="D29" s="16" t="s">
        <v>183</v>
      </c>
      <c r="E29" s="7" t="s">
        <v>69</v>
      </c>
      <c r="F29" s="5" t="s">
        <v>173</v>
      </c>
      <c r="G29" s="5" t="s">
        <v>104</v>
      </c>
      <c r="H29" s="4" t="s">
        <v>72</v>
      </c>
      <c r="I29" s="8" t="s">
        <v>71</v>
      </c>
      <c r="J29" s="4" t="s">
        <v>190</v>
      </c>
      <c r="K29" s="23" t="s">
        <v>303</v>
      </c>
    </row>
    <row r="30" spans="1:11" ht="37.5" hidden="1" x14ac:dyDescent="0.35">
      <c r="A30" s="14" t="s">
        <v>191</v>
      </c>
      <c r="B30" s="15" t="s">
        <v>192</v>
      </c>
      <c r="C30" s="5" t="s">
        <v>157</v>
      </c>
      <c r="D30" s="16" t="s">
        <v>183</v>
      </c>
      <c r="E30" s="9" t="s">
        <v>77</v>
      </c>
      <c r="F30" s="5" t="s">
        <v>173</v>
      </c>
      <c r="G30" s="5" t="s">
        <v>104</v>
      </c>
      <c r="H30" s="4" t="s">
        <v>72</v>
      </c>
      <c r="I30" s="8" t="s">
        <v>71</v>
      </c>
      <c r="J30" s="4" t="s">
        <v>193</v>
      </c>
      <c r="K30" s="23" t="s">
        <v>303</v>
      </c>
    </row>
    <row r="31" spans="1:11" ht="37.5" hidden="1" x14ac:dyDescent="0.35">
      <c r="A31" s="14" t="s">
        <v>194</v>
      </c>
      <c r="B31" s="15" t="s">
        <v>195</v>
      </c>
      <c r="C31" s="5" t="s">
        <v>172</v>
      </c>
      <c r="D31" s="16" t="s">
        <v>183</v>
      </c>
      <c r="E31" s="7" t="s">
        <v>69</v>
      </c>
      <c r="F31" s="5" t="s">
        <v>173</v>
      </c>
      <c r="G31" s="5" t="s">
        <v>104</v>
      </c>
      <c r="H31" s="4" t="s">
        <v>170</v>
      </c>
      <c r="I31" s="8" t="s">
        <v>71</v>
      </c>
      <c r="J31" s="4" t="s">
        <v>196</v>
      </c>
      <c r="K31" s="23" t="s">
        <v>303</v>
      </c>
    </row>
    <row r="32" spans="1:11" ht="37.5" x14ac:dyDescent="0.35">
      <c r="A32" s="14" t="s">
        <v>197</v>
      </c>
      <c r="B32" s="15" t="s">
        <v>198</v>
      </c>
      <c r="C32" s="5" t="s">
        <v>76</v>
      </c>
      <c r="D32" s="16" t="s">
        <v>183</v>
      </c>
      <c r="E32" s="9" t="s">
        <v>77</v>
      </c>
      <c r="F32" s="5" t="s">
        <v>173</v>
      </c>
      <c r="G32" s="5" t="s">
        <v>104</v>
      </c>
      <c r="H32" s="4" t="s">
        <v>199</v>
      </c>
      <c r="I32" s="8" t="s">
        <v>71</v>
      </c>
      <c r="J32" s="4" t="s">
        <v>200</v>
      </c>
      <c r="K32" t="s">
        <v>303</v>
      </c>
    </row>
    <row r="33" spans="1:11" ht="25" hidden="1" x14ac:dyDescent="0.35">
      <c r="A33" s="14" t="s">
        <v>201</v>
      </c>
      <c r="B33" s="15" t="s">
        <v>202</v>
      </c>
      <c r="C33" s="5" t="s">
        <v>67</v>
      </c>
      <c r="D33" s="16" t="s">
        <v>183</v>
      </c>
      <c r="E33" s="10" t="s">
        <v>81</v>
      </c>
      <c r="F33" s="5" t="s">
        <v>173</v>
      </c>
      <c r="G33" s="5" t="s">
        <v>104</v>
      </c>
      <c r="H33" s="4" t="s">
        <v>72</v>
      </c>
      <c r="I33" s="8" t="s">
        <v>71</v>
      </c>
      <c r="J33" s="4" t="s">
        <v>203</v>
      </c>
      <c r="K33" s="23" t="s">
        <v>303</v>
      </c>
    </row>
    <row r="34" spans="1:11" ht="25" hidden="1" x14ac:dyDescent="0.35">
      <c r="A34" s="14" t="s">
        <v>204</v>
      </c>
      <c r="B34" s="15" t="s">
        <v>205</v>
      </c>
      <c r="C34" s="5" t="s">
        <v>172</v>
      </c>
      <c r="D34" s="16" t="s">
        <v>183</v>
      </c>
      <c r="E34" s="9" t="s">
        <v>77</v>
      </c>
      <c r="F34" s="5" t="s">
        <v>173</v>
      </c>
      <c r="G34" s="5" t="s">
        <v>104</v>
      </c>
      <c r="H34" s="4" t="s">
        <v>170</v>
      </c>
      <c r="I34" s="8" t="s">
        <v>71</v>
      </c>
      <c r="J34" s="4" t="s">
        <v>206</v>
      </c>
      <c r="K34" s="23" t="s">
        <v>303</v>
      </c>
    </row>
    <row r="35" spans="1:11" ht="25" hidden="1" x14ac:dyDescent="0.35">
      <c r="A35" s="5" t="s">
        <v>207</v>
      </c>
      <c r="B35" s="4" t="s">
        <v>208</v>
      </c>
      <c r="C35" s="5" t="s">
        <v>209</v>
      </c>
      <c r="D35" s="17" t="s">
        <v>210</v>
      </c>
      <c r="E35" s="12" t="s">
        <v>178</v>
      </c>
      <c r="F35" s="5" t="s">
        <v>173</v>
      </c>
      <c r="G35" s="5" t="s">
        <v>104</v>
      </c>
      <c r="H35" s="4" t="s">
        <v>155</v>
      </c>
      <c r="I35" s="12" t="s">
        <v>104</v>
      </c>
      <c r="J35" s="4" t="s">
        <v>211</v>
      </c>
      <c r="K35" s="23" t="s">
        <v>303</v>
      </c>
    </row>
    <row r="36" spans="1:11" ht="25" hidden="1" x14ac:dyDescent="0.35">
      <c r="A36" s="5" t="s">
        <v>212</v>
      </c>
      <c r="B36" s="4" t="s">
        <v>213</v>
      </c>
      <c r="C36" s="5" t="s">
        <v>214</v>
      </c>
      <c r="D36" s="17" t="s">
        <v>210</v>
      </c>
      <c r="E36" s="10" t="s">
        <v>81</v>
      </c>
      <c r="F36" s="5" t="s">
        <v>173</v>
      </c>
      <c r="G36" s="5" t="s">
        <v>104</v>
      </c>
      <c r="H36" s="4" t="s">
        <v>215</v>
      </c>
      <c r="I36" s="12" t="s">
        <v>104</v>
      </c>
      <c r="J36" s="4" t="s">
        <v>216</v>
      </c>
      <c r="K36" s="23" t="s">
        <v>303</v>
      </c>
    </row>
    <row r="37" spans="1:11" ht="25" hidden="1" x14ac:dyDescent="0.35">
      <c r="A37" s="5" t="s">
        <v>217</v>
      </c>
      <c r="B37" s="4" t="s">
        <v>218</v>
      </c>
      <c r="C37" s="5" t="s">
        <v>214</v>
      </c>
      <c r="D37" s="17" t="s">
        <v>210</v>
      </c>
      <c r="E37" s="10" t="s">
        <v>81</v>
      </c>
      <c r="F37" s="5" t="s">
        <v>219</v>
      </c>
      <c r="G37" s="5" t="s">
        <v>104</v>
      </c>
      <c r="H37" s="4" t="s">
        <v>220</v>
      </c>
      <c r="I37" s="12" t="s">
        <v>104</v>
      </c>
      <c r="J37" s="4" t="s">
        <v>221</v>
      </c>
      <c r="K37" s="23" t="s">
        <v>303</v>
      </c>
    </row>
    <row r="38" spans="1:11" ht="37.5" hidden="1" x14ac:dyDescent="0.35">
      <c r="A38" s="5" t="s">
        <v>222</v>
      </c>
      <c r="B38" s="4" t="s">
        <v>223</v>
      </c>
      <c r="C38" s="5" t="s">
        <v>102</v>
      </c>
      <c r="D38" s="17" t="s">
        <v>210</v>
      </c>
      <c r="E38" s="10" t="s">
        <v>81</v>
      </c>
      <c r="F38" s="5" t="s">
        <v>173</v>
      </c>
      <c r="G38" s="5" t="s">
        <v>104</v>
      </c>
      <c r="H38" s="4" t="s">
        <v>103</v>
      </c>
      <c r="I38" s="12" t="s">
        <v>104</v>
      </c>
      <c r="J38" s="4" t="s">
        <v>224</v>
      </c>
      <c r="K38" s="23" t="s">
        <v>303</v>
      </c>
    </row>
  </sheetData>
  <autoFilter ref="A1:K38" xr:uid="{00000000-0001-0000-0100-000000000000}">
    <filterColumn colId="10">
      <filters blank="1"/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100"/>
  </sheetPr>
  <dimension ref="A1:F10"/>
  <sheetViews>
    <sheetView zoomScale="104" zoomScaleNormal="145" workbookViewId="0">
      <pane ySplit="1" topLeftCell="A2" activePane="bottomLeft" state="frozen"/>
      <selection pane="bottomLeft" activeCell="C18" sqref="C18"/>
    </sheetView>
  </sheetViews>
  <sheetFormatPr defaultColWidth="8.6328125" defaultRowHeight="14.5" x14ac:dyDescent="0.35"/>
  <cols>
    <col min="1" max="1" width="5" customWidth="1"/>
    <col min="2" max="2" width="30" customWidth="1"/>
    <col min="3" max="3" width="50" customWidth="1"/>
    <col min="4" max="5" width="14" customWidth="1"/>
    <col min="6" max="6" width="55" customWidth="1"/>
  </cols>
  <sheetData>
    <row r="1" spans="1:6" x14ac:dyDescent="0.35">
      <c r="A1" s="2" t="s">
        <v>0</v>
      </c>
      <c r="B1" s="2" t="s">
        <v>225</v>
      </c>
      <c r="C1" s="2" t="s">
        <v>226</v>
      </c>
      <c r="D1" s="2" t="s">
        <v>58</v>
      </c>
      <c r="E1" s="2" t="s">
        <v>227</v>
      </c>
      <c r="F1" s="2" t="s">
        <v>228</v>
      </c>
    </row>
    <row r="2" spans="1:6" ht="25" x14ac:dyDescent="0.35">
      <c r="A2" s="4">
        <v>1</v>
      </c>
      <c r="B2" s="4" t="s">
        <v>229</v>
      </c>
      <c r="C2" s="4" t="s">
        <v>230</v>
      </c>
      <c r="D2" s="18" t="s">
        <v>231</v>
      </c>
      <c r="E2" s="4" t="s">
        <v>232</v>
      </c>
      <c r="F2" s="4" t="s">
        <v>233</v>
      </c>
    </row>
    <row r="3" spans="1:6" ht="25" x14ac:dyDescent="0.35">
      <c r="A3" s="4">
        <v>2</v>
      </c>
      <c r="B3" s="4" t="s">
        <v>234</v>
      </c>
      <c r="C3" s="4" t="s">
        <v>235</v>
      </c>
      <c r="D3" s="18" t="s">
        <v>231</v>
      </c>
      <c r="E3" s="4" t="s">
        <v>236</v>
      </c>
      <c r="F3" s="4" t="s">
        <v>237</v>
      </c>
    </row>
    <row r="4" spans="1:6" ht="25" x14ac:dyDescent="0.35">
      <c r="A4" s="4">
        <v>3</v>
      </c>
      <c r="B4" s="4" t="s">
        <v>238</v>
      </c>
      <c r="C4" s="4" t="s">
        <v>239</v>
      </c>
      <c r="D4" s="19" t="s">
        <v>141</v>
      </c>
      <c r="E4" s="4" t="s">
        <v>240</v>
      </c>
      <c r="F4" s="4" t="s">
        <v>241</v>
      </c>
    </row>
    <row r="5" spans="1:6" ht="25" x14ac:dyDescent="0.35">
      <c r="A5" s="4">
        <v>4</v>
      </c>
      <c r="B5" s="4" t="s">
        <v>242</v>
      </c>
      <c r="C5" s="4" t="s">
        <v>243</v>
      </c>
      <c r="D5" s="19" t="s">
        <v>141</v>
      </c>
      <c r="E5" s="4" t="s">
        <v>244</v>
      </c>
      <c r="F5" s="4" t="s">
        <v>245</v>
      </c>
    </row>
    <row r="6" spans="1:6" ht="25" x14ac:dyDescent="0.35">
      <c r="A6" s="4">
        <v>5</v>
      </c>
      <c r="B6" s="4" t="s">
        <v>246</v>
      </c>
      <c r="C6" s="4" t="s">
        <v>247</v>
      </c>
      <c r="D6" s="20" t="s">
        <v>86</v>
      </c>
      <c r="E6" s="4" t="s">
        <v>248</v>
      </c>
      <c r="F6" s="4" t="s">
        <v>249</v>
      </c>
    </row>
    <row r="7" spans="1:6" ht="25" x14ac:dyDescent="0.35">
      <c r="A7" s="4">
        <v>6</v>
      </c>
      <c r="B7" s="4" t="s">
        <v>250</v>
      </c>
      <c r="C7" s="4" t="s">
        <v>251</v>
      </c>
      <c r="D7" s="18" t="s">
        <v>231</v>
      </c>
      <c r="E7" s="4" t="s">
        <v>252</v>
      </c>
      <c r="F7" s="4" t="s">
        <v>253</v>
      </c>
    </row>
    <row r="8" spans="1:6" ht="25" x14ac:dyDescent="0.35">
      <c r="A8" s="4">
        <v>7</v>
      </c>
      <c r="B8" s="4" t="s">
        <v>254</v>
      </c>
      <c r="C8" s="4" t="s">
        <v>255</v>
      </c>
      <c r="D8" s="19" t="s">
        <v>141</v>
      </c>
      <c r="E8" s="4" t="s">
        <v>256</v>
      </c>
      <c r="F8" s="4" t="s">
        <v>257</v>
      </c>
    </row>
    <row r="9" spans="1:6" ht="25" x14ac:dyDescent="0.35">
      <c r="A9" s="4">
        <v>8</v>
      </c>
      <c r="B9" s="4" t="s">
        <v>258</v>
      </c>
      <c r="C9" s="4" t="s">
        <v>259</v>
      </c>
      <c r="D9" s="20" t="s">
        <v>86</v>
      </c>
      <c r="E9" s="4" t="s">
        <v>260</v>
      </c>
      <c r="F9" s="4" t="s">
        <v>261</v>
      </c>
    </row>
    <row r="10" spans="1:6" ht="25" x14ac:dyDescent="0.35">
      <c r="A10" s="4">
        <v>9</v>
      </c>
      <c r="B10" s="4" t="s">
        <v>262</v>
      </c>
      <c r="C10" s="4" t="s">
        <v>263</v>
      </c>
      <c r="D10" s="3" t="s">
        <v>210</v>
      </c>
      <c r="E10" s="4" t="s">
        <v>264</v>
      </c>
      <c r="F10" s="4" t="s">
        <v>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E22"/>
  <sheetViews>
    <sheetView zoomScaleNormal="100" workbookViewId="0">
      <selection sqref="A1:E1"/>
    </sheetView>
  </sheetViews>
  <sheetFormatPr defaultColWidth="8.6328125" defaultRowHeight="14.5" x14ac:dyDescent="0.35"/>
  <cols>
    <col min="1" max="1" width="30" customWidth="1"/>
    <col min="2" max="4" width="14" customWidth="1"/>
    <col min="5" max="5" width="40" customWidth="1"/>
  </cols>
  <sheetData>
    <row r="1" spans="1:5" ht="18" x14ac:dyDescent="0.4">
      <c r="A1" s="1" t="s">
        <v>266</v>
      </c>
      <c r="B1" s="1"/>
      <c r="C1" s="1"/>
      <c r="D1" s="1"/>
      <c r="E1" s="1"/>
    </row>
    <row r="3" spans="1:5" ht="26" x14ac:dyDescent="0.35">
      <c r="A3" s="21" t="s">
        <v>267</v>
      </c>
      <c r="B3" s="21" t="s">
        <v>268</v>
      </c>
      <c r="C3" s="21" t="s">
        <v>269</v>
      </c>
      <c r="D3" s="21"/>
    </row>
    <row r="4" spans="1:5" x14ac:dyDescent="0.35">
      <c r="A4" s="4" t="s">
        <v>270</v>
      </c>
      <c r="B4" s="4" t="s">
        <v>271</v>
      </c>
      <c r="C4" s="4"/>
      <c r="D4" s="4"/>
    </row>
    <row r="5" spans="1:5" ht="25" x14ac:dyDescent="0.35">
      <c r="A5" s="4" t="s">
        <v>272</v>
      </c>
      <c r="B5" s="4"/>
      <c r="C5" s="4" t="s">
        <v>273</v>
      </c>
      <c r="D5" s="4"/>
    </row>
    <row r="6" spans="1:5" ht="25" x14ac:dyDescent="0.35">
      <c r="A6" s="4" t="s">
        <v>274</v>
      </c>
      <c r="B6" s="4"/>
      <c r="C6" s="4" t="s">
        <v>275</v>
      </c>
      <c r="D6" s="4"/>
    </row>
    <row r="7" spans="1:5" x14ac:dyDescent="0.35">
      <c r="A7" s="4" t="s">
        <v>276</v>
      </c>
      <c r="B7" s="4"/>
      <c r="C7" s="4" t="s">
        <v>277</v>
      </c>
      <c r="D7" s="4"/>
    </row>
    <row r="8" spans="1:5" ht="25" x14ac:dyDescent="0.35">
      <c r="A8" s="4" t="s">
        <v>278</v>
      </c>
      <c r="B8" s="4"/>
      <c r="C8" s="4" t="s">
        <v>279</v>
      </c>
      <c r="D8" s="4"/>
    </row>
    <row r="9" spans="1:5" x14ac:dyDescent="0.35">
      <c r="A9" s="4"/>
      <c r="B9" s="4"/>
      <c r="C9" s="4"/>
      <c r="D9" s="4"/>
    </row>
    <row r="10" spans="1:5" x14ac:dyDescent="0.35">
      <c r="A10" s="21" t="s">
        <v>280</v>
      </c>
      <c r="B10" s="21" t="s">
        <v>281</v>
      </c>
      <c r="C10" s="21" t="s">
        <v>282</v>
      </c>
      <c r="D10" s="21"/>
    </row>
    <row r="11" spans="1:5" x14ac:dyDescent="0.35">
      <c r="A11" s="4" t="s">
        <v>68</v>
      </c>
      <c r="B11" s="4" t="s">
        <v>283</v>
      </c>
      <c r="C11" s="4" t="s">
        <v>283</v>
      </c>
      <c r="D11" s="4"/>
    </row>
    <row r="12" spans="1:5" x14ac:dyDescent="0.35">
      <c r="A12" s="4" t="s">
        <v>86</v>
      </c>
      <c r="B12" s="4" t="s">
        <v>284</v>
      </c>
      <c r="C12" s="4" t="s">
        <v>285</v>
      </c>
      <c r="D12" s="4"/>
    </row>
    <row r="13" spans="1:5" x14ac:dyDescent="0.35">
      <c r="A13" s="4" t="s">
        <v>141</v>
      </c>
      <c r="B13" s="4" t="s">
        <v>286</v>
      </c>
      <c r="C13" s="4" t="s">
        <v>287</v>
      </c>
      <c r="D13" s="4"/>
    </row>
    <row r="14" spans="1:5" x14ac:dyDescent="0.35">
      <c r="A14" s="4" t="s">
        <v>288</v>
      </c>
      <c r="B14" s="4" t="s">
        <v>287</v>
      </c>
      <c r="C14" s="4" t="s">
        <v>287</v>
      </c>
      <c r="D14" s="4"/>
    </row>
    <row r="15" spans="1:5" x14ac:dyDescent="0.35">
      <c r="A15" s="4" t="s">
        <v>289</v>
      </c>
      <c r="B15" s="4" t="s">
        <v>290</v>
      </c>
      <c r="C15" s="4" t="s">
        <v>291</v>
      </c>
      <c r="D15" s="4"/>
    </row>
    <row r="16" spans="1:5" x14ac:dyDescent="0.35">
      <c r="A16" s="22" t="s">
        <v>292</v>
      </c>
      <c r="B16" s="22">
        <f>SUM(B11:B15)</f>
        <v>0</v>
      </c>
      <c r="C16" s="22">
        <f>SUM(C11:C15)</f>
        <v>0</v>
      </c>
      <c r="D16" s="4"/>
    </row>
    <row r="17" spans="1:4" x14ac:dyDescent="0.35">
      <c r="A17" s="4"/>
      <c r="B17" s="4"/>
      <c r="C17" s="4"/>
      <c r="D17" s="4"/>
    </row>
    <row r="18" spans="1:4" x14ac:dyDescent="0.35">
      <c r="A18" s="21" t="s">
        <v>293</v>
      </c>
      <c r="B18" s="21"/>
      <c r="C18" s="21"/>
      <c r="D18" s="21"/>
    </row>
    <row r="19" spans="1:4" ht="37.5" x14ac:dyDescent="0.35">
      <c r="A19" s="4" t="s">
        <v>294</v>
      </c>
      <c r="B19" s="4">
        <f>C12+C13+C14</f>
        <v>28</v>
      </c>
      <c r="C19" s="4"/>
      <c r="D19" s="4" t="s">
        <v>295</v>
      </c>
    </row>
    <row r="20" spans="1:4" ht="50" x14ac:dyDescent="0.35">
      <c r="A20" s="4" t="s">
        <v>296</v>
      </c>
      <c r="B20" s="4" t="s">
        <v>297</v>
      </c>
      <c r="C20" s="4"/>
      <c r="D20" s="4" t="s">
        <v>298</v>
      </c>
    </row>
    <row r="21" spans="1:4" ht="62.5" x14ac:dyDescent="0.35">
      <c r="A21" s="4" t="s">
        <v>299</v>
      </c>
      <c r="B21" s="4"/>
      <c r="C21" s="4"/>
      <c r="D21" s="4" t="s">
        <v>300</v>
      </c>
    </row>
    <row r="22" spans="1:4" ht="75" x14ac:dyDescent="0.35">
      <c r="A22" s="4" t="s">
        <v>301</v>
      </c>
      <c r="B22" s="4"/>
      <c r="C22" s="4"/>
      <c r="D22" s="4" t="s">
        <v>302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– Issues Found</vt:lpstr>
      <vt:lpstr>V1.0 Kanban – Updated</vt:lpstr>
      <vt:lpstr>V1.0 Release 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PIERRE MONTANOV</cp:lastModifiedBy>
  <cp:revision>0</cp:revision>
  <dcterms:created xsi:type="dcterms:W3CDTF">2026-04-07T07:17:32Z</dcterms:created>
  <dcterms:modified xsi:type="dcterms:W3CDTF">2026-04-16T11:09:36Z</dcterms:modified>
  <dc:language>en-US</dc:language>
</cp:coreProperties>
</file>